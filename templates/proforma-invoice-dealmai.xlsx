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ziobi\Downloads\"/>
    </mc:Choice>
  </mc:AlternateContent>
  <xr:revisionPtr revIDLastSave="0" documentId="8_{17348F51-62EC-4D55-A85E-E628F2E89352}" xr6:coauthVersionLast="45" xr6:coauthVersionMax="45" xr10:uidLastSave="{00000000-0000-0000-0000-000000000000}"/>
  <bookViews>
    <workbookView xWindow="13860" yWindow="-16320" windowWidth="29040" windowHeight="15720" xr2:uid="{00000000-000D-0000-FFFF-FFFF00000000}"/>
  </bookViews>
  <sheets>
    <sheet name="PI" sheetId="13" r:id="rId1"/>
  </sheets>
  <definedNames>
    <definedName name="_xlnm.Print_Area" localSheetId="0">PI!$A$1:$F$65</definedName>
  </definedNames>
  <calcPr calcId="191029"/>
</workbook>
</file>

<file path=xl/calcChain.xml><?xml version="1.0" encoding="utf-8"?>
<calcChain xmlns="http://schemas.openxmlformats.org/spreadsheetml/2006/main">
  <c r="E24" i="13" l="1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23" i="13"/>
  <c r="E51" i="13" l="1"/>
</calcChain>
</file>

<file path=xl/sharedStrings.xml><?xml version="1.0" encoding="utf-8"?>
<sst xmlns="http://schemas.openxmlformats.org/spreadsheetml/2006/main" count="71" uniqueCount="71">
  <si>
    <t>Remark</t>
  </si>
  <si>
    <t>Accepted by</t>
  </si>
  <si>
    <t>PROFORMA INVOICE</t>
    <phoneticPr fontId="3" type="noConversion"/>
  </si>
  <si>
    <t>We are very pleased to offer you our terms and conditions as hereunder;</t>
    <phoneticPr fontId="3" type="noConversion"/>
  </si>
  <si>
    <t>* Please send this P/I back with your signature</t>
    <phoneticPr fontId="3" type="noConversion"/>
  </si>
  <si>
    <t>TOTAL</t>
    <phoneticPr fontId="3" type="noConversion"/>
  </si>
  <si>
    <t>Yours very truly,</t>
    <phoneticPr fontId="3" type="noConversion"/>
  </si>
  <si>
    <t xml:space="preserve">- A/C No.          : </t>
    <phoneticPr fontId="3" type="noConversion"/>
  </si>
  <si>
    <t xml:space="preserve">- A/C Name      : </t>
    <phoneticPr fontId="3" type="noConversion"/>
  </si>
  <si>
    <t xml:space="preserve">- Bank Add.      : </t>
    <phoneticPr fontId="4" type="noConversion"/>
  </si>
  <si>
    <t xml:space="preserve">- Swift Code     : </t>
    <phoneticPr fontId="3" type="noConversion"/>
  </si>
  <si>
    <t>- Branch name ;</t>
    <phoneticPr fontId="3" type="noConversion"/>
  </si>
  <si>
    <t xml:space="preserve">Messrs </t>
    <phoneticPr fontId="3" type="noConversion"/>
  </si>
  <si>
    <t>Terms of Payment  :  L/C (Letter of Credit) or T/T</t>
    <phoneticPr fontId="3" type="noConversion"/>
  </si>
  <si>
    <t>Item</t>
    <phoneticPr fontId="3" type="noConversion"/>
  </si>
  <si>
    <t>P/I No. :</t>
    <phoneticPr fontId="3" type="noConversion"/>
  </si>
  <si>
    <t>Tel  : +81-6-4705-8511, Fax : +81-6-6210-2577</t>
    <phoneticPr fontId="3" type="noConversion"/>
  </si>
  <si>
    <t>Description</t>
    <phoneticPr fontId="3" type="noConversion"/>
  </si>
  <si>
    <t>Unit Price(YEN)</t>
    <phoneticPr fontId="3" type="noConversion"/>
  </si>
  <si>
    <t>Amount(YEN)</t>
    <phoneticPr fontId="3" type="noConversion"/>
  </si>
  <si>
    <t xml:space="preserve">Origin of Goods  : </t>
    <phoneticPr fontId="3" type="noConversion"/>
  </si>
  <si>
    <t xml:space="preserve">Terms of Price   : </t>
    <phoneticPr fontId="3" type="noConversion"/>
  </si>
  <si>
    <t xml:space="preserve">Time of Delivery   : </t>
    <phoneticPr fontId="3" type="noConversion"/>
  </si>
  <si>
    <r>
      <t>ONTHELINE</t>
    </r>
    <r>
      <rPr>
        <sz val="20"/>
        <rFont val="Arial Black"/>
        <family val="2"/>
      </rPr>
      <t xml:space="preserve"> CO.,LTD</t>
    </r>
  </si>
  <si>
    <t>806, AU Tower, 68, Achasan-ro, Seongdong-gu, Seoul, Republic of Korea</t>
    <phoneticPr fontId="3" type="noConversion"/>
  </si>
  <si>
    <t>Tel: +82 (0) 70 8286 1053, Fax: + 82 (0) 504 444 7899</t>
    <phoneticPr fontId="3" type="noConversion"/>
  </si>
  <si>
    <t>9th Floor, Nihon Building Annex 1-2-18, Nihonbashi-kayabacho, Chuo-ku, Tokyo, Japan</t>
    <phoneticPr fontId="3" type="noConversion"/>
  </si>
  <si>
    <t>Date    :   2026.08.01</t>
    <phoneticPr fontId="3" type="noConversion"/>
  </si>
  <si>
    <t>Annual access — the workhorse plan.</t>
  </si>
  <si>
    <t>Quarterly access — chosen by most agencies.</t>
  </si>
  <si>
    <t>Light credit top-up for trials and small campaigns.</t>
  </si>
  <si>
    <t>Enough credit for a week of moderate activity.</t>
  </si>
  <si>
    <t>The sweet spot for solo operators and consultants.</t>
  </si>
  <si>
    <t>For small teams running concurrent campaigns.</t>
  </si>
  <si>
    <t>Power tier for agencies and high-volume sellers.</t>
  </si>
  <si>
    <t>Unlimited credit for 72 hours.</t>
  </si>
  <si>
    <t>A full week of unrestricted access.</t>
  </si>
  <si>
    <t>A fortnight of unlimited activity.</t>
  </si>
  <si>
    <t>Best for monthly campaign cycles.</t>
  </si>
  <si>
    <t>Half-year commitment with priority support.</t>
  </si>
  <si>
    <t>Two-year tenure — best value per day.</t>
  </si>
  <si>
    <t>B type - Special offer for New Organizer</t>
  </si>
  <si>
    <t>A type - Special offer for New Organazier</t>
  </si>
  <si>
    <t>Rolling monthly. Cancel anytime.</t>
  </si>
  <si>
    <t>Quarterly cadence — most popular tier.</t>
  </si>
  <si>
    <t>Half-year commitment with priority queue.</t>
  </si>
  <si>
    <t>Annual subscription — recommended.</t>
  </si>
  <si>
    <t>Two-year tenure with locked pricing.</t>
  </si>
  <si>
    <t>Credit Purchase</t>
    <phoneticPr fontId="3" type="noConversion"/>
  </si>
  <si>
    <t>1-Time Access</t>
    <phoneticPr fontId="3" type="noConversion"/>
  </si>
  <si>
    <t>Subscription</t>
    <phoneticPr fontId="3" type="noConversion"/>
  </si>
  <si>
    <t>Issuance cost for Card</t>
    <phoneticPr fontId="3" type="noConversion"/>
  </si>
  <si>
    <t>Advance</t>
    <phoneticPr fontId="3" type="noConversion"/>
  </si>
  <si>
    <t>Deposit</t>
    <phoneticPr fontId="3" type="noConversion"/>
  </si>
  <si>
    <t>System Install Costs</t>
    <phoneticPr fontId="3" type="noConversion"/>
  </si>
  <si>
    <t>OMS</t>
    <phoneticPr fontId="3" type="noConversion"/>
  </si>
  <si>
    <t>Unit</t>
    <phoneticPr fontId="3" type="noConversion"/>
  </si>
  <si>
    <t>ON THE LINE JAPAN CO., LTD / Mr. HIROSHI TAKEDA / DIRECTOR</t>
    <phoneticPr fontId="3" type="noConversion"/>
  </si>
  <si>
    <t xml:space="preserve">www.onthelinem.com / www.dealmai.com </t>
    <phoneticPr fontId="3" type="noConversion"/>
  </si>
  <si>
    <t>180-009-637906</t>
  </si>
  <si>
    <t>ONTHELINE CO., LTD.</t>
  </si>
  <si>
    <t>1F LOTTE CASTLE GOLD, 269, Olympic-ro,  Songpa-gu, Seoul, Korea</t>
  </si>
  <si>
    <t>Jamsil Lotte Castle Branch</t>
  </si>
  <si>
    <t>SHBKKRSE</t>
  </si>
  <si>
    <t>Payment</t>
  </si>
  <si>
    <t>Date</t>
  </si>
  <si>
    <t>Terms</t>
  </si>
  <si>
    <t>The above TOTAL amount must be deposited in full (The remittance fee is to be paid by the remitter)</t>
  </si>
  <si>
    <t>Please deposit by the due date</t>
  </si>
  <si>
    <t>Remarks</t>
  </si>
  <si>
    <t>Until Aug. 20, 2026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</si>
</sst>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76" formatCode="[$USD]\ #,##0.00;[Red]\-[$USD]\ #,##0.00"/>
    <numFmt numFmtId="177" formatCode="mmm\ dd\,\ yyyy"/>
    <numFmt numFmtId="178" formatCode="_ * #,##0_ ;_ * \-#,##0_ ;_ * &quot;-&quot;_ ;_ @_ "/>
    <numFmt numFmtId="179" formatCode="#,##0;[Red]&quot;-&quot;#,##0"/>
    <numFmt numFmtId="180" formatCode="#,##0.00;[Red]&quot;-&quot;#,##0.00"/>
    <numFmt numFmtId="181" formatCode="#,##0;\(#,##0\)"/>
    <numFmt numFmtId="182" formatCode="&quot;$&quot;#,##0.00;[Red]&quot;$&quot;\-#,##0.00"/>
    <numFmt numFmtId="183" formatCode="_ &quot;$&quot;* #,##0.00_ ;_ &quot;$&quot;* \-#,##0.00_ ;_ &quot;$&quot;* &quot;-&quot;??_ ;_ @_ "/>
    <numFmt numFmtId="184" formatCode="_-&quot;₩&quot;* #,##0.00_-;&quot;₩&quot;&quot;₩&quot;\-&quot;₩&quot;* #,##0.00_-;_-&quot;₩&quot;* &quot;-&quot;??_-;_-@_-"/>
    <numFmt numFmtId="185" formatCode="_-* #,##0.00_-;&quot;₩&quot;&quot;₩&quot;\-* #,##0.00_-;_-* &quot;-&quot;??_-;_-@_-"/>
    <numFmt numFmtId="186" formatCode="&quot;₩&quot;#,##0;&quot;₩&quot;&quot;₩&quot;&quot;₩&quot;&quot;₩&quot;\-#,##0"/>
    <numFmt numFmtId="187" formatCode="&quot;₩&quot;#,##0;[Red]&quot;₩&quot;&quot;₩&quot;&quot;₩&quot;&quot;₩&quot;\-#,##0"/>
    <numFmt numFmtId="188" formatCode="&quot;₩&quot;#,##0.00;&quot;₩&quot;&quot;₩&quot;&quot;₩&quot;&quot;₩&quot;\-#,##0.00"/>
    <numFmt numFmtId="190" formatCode="_-[$¥-411]* #,##0.00_-;\-[$¥-411]* #,##0.00_-;_-[$¥-411]* &quot;-&quot;??_-;_-@_-"/>
    <numFmt numFmtId="197" formatCode="_-[$¥-411]* #,##0_-;\-[$¥-411]* #,##0_-;_-[$¥-411]* &quot;-&quot;??_-;_-@_-"/>
    <numFmt numFmtId="200" formatCode="0_);[Red]\(0\)"/>
    <numFmt numFmtId="202" formatCode="_-* #,##0_-;\-* #,##0_-;_-* &quot;-&quot;_-;_-@_-"/>
  </numFmts>
  <fonts count="60">
    <font>
      <sz val="11"/>
      <name val="돋움"/>
      <family val="3"/>
      <charset val="129"/>
    </font>
    <font>
      <sz val="11"/>
      <name val="돋움"/>
      <family val="3"/>
      <charset val="129"/>
    </font>
    <font>
      <sz val="22"/>
      <name val="Arial Black"/>
      <family val="2"/>
    </font>
    <font>
      <sz val="8"/>
      <name val="돋움"/>
      <family val="3"/>
      <charset val="129"/>
    </font>
    <font>
      <sz val="8"/>
      <name val="바탕"/>
      <family val="1"/>
      <charset val="129"/>
    </font>
    <font>
      <sz val="10"/>
      <name val="Arial"/>
      <family val="2"/>
    </font>
    <font>
      <sz val="12"/>
      <name val="돋움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9"/>
      <name val="Arial Black"/>
      <family val="2"/>
    </font>
    <font>
      <sz val="11"/>
      <name val="Arial"/>
      <family val="2"/>
    </font>
    <font>
      <b/>
      <u/>
      <sz val="20"/>
      <name val="Arial"/>
      <family val="2"/>
    </font>
    <font>
      <sz val="11"/>
      <name val="돋움체"/>
      <family val="3"/>
      <charset val="129"/>
    </font>
    <font>
      <u/>
      <sz val="11"/>
      <color indexed="12"/>
      <name val="돋움"/>
      <family val="3"/>
      <charset val="129"/>
    </font>
    <font>
      <b/>
      <sz val="9"/>
      <color indexed="8"/>
      <name val="Arial"/>
      <family val="2"/>
    </font>
    <font>
      <b/>
      <sz val="9"/>
      <color indexed="18"/>
      <name val="Arial"/>
      <family val="2"/>
    </font>
    <font>
      <sz val="9"/>
      <name val="Times New Roman"/>
      <family val="1"/>
    </font>
    <font>
      <b/>
      <sz val="9"/>
      <name val="Arial"/>
      <family val="2"/>
    </font>
    <font>
      <b/>
      <sz val="9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sz val="11"/>
      <name val="굴림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굴림체"/>
      <family val="3"/>
      <charset val="129"/>
    </font>
    <font>
      <b/>
      <sz val="10"/>
      <name val="Helv"/>
      <family val="2"/>
    </font>
    <font>
      <sz val="12"/>
      <name val="굴림체"/>
      <family val="3"/>
      <charset val="129"/>
    </font>
    <font>
      <sz val="10"/>
      <name val="Times New Roman"/>
      <family val="1"/>
    </font>
    <font>
      <sz val="10"/>
      <name val="Geneva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9"/>
      <color indexed="12"/>
      <name val="Arial"/>
      <family val="2"/>
    </font>
    <font>
      <b/>
      <sz val="11"/>
      <name val="돋움"/>
      <family val="3"/>
      <charset val="129"/>
    </font>
    <font>
      <sz val="20"/>
      <name val="Arial Black"/>
      <family val="2"/>
    </font>
    <font>
      <sz val="9"/>
      <name val="돋움"/>
      <family val="3"/>
      <charset val="129"/>
    </font>
    <font>
      <sz val="9"/>
      <name val="Arial"/>
      <family val="3"/>
      <charset val="129"/>
    </font>
    <font>
      <sz val="8"/>
      <color rgb="FF6B6F78"/>
      <name val="Arial"/>
      <family val="2"/>
    </font>
    <font>
      <i/>
      <sz val="8"/>
      <name val="Arial"/>
      <family val="2"/>
    </font>
    <font>
      <sz val="8"/>
      <color indexed="12"/>
      <name val="Arial"/>
      <family val="2"/>
    </font>
    <font>
      <sz val="8"/>
      <color theme="1"/>
      <name val="Arial"/>
      <family val="2"/>
    </font>
    <font>
      <sz val="9"/>
      <color rgb="FFFF0000"/>
      <name val="Arial"/>
      <family val="2"/>
    </font>
    <font>
      <sz val="9"/>
      <color rgb="FFFF0000"/>
      <name val="Arial"/>
      <family val="3"/>
      <charset val="129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77">
    <xf numFmtId="0" fontId="0" fillId="0" borderId="0">
      <alignment vertical="center"/>
    </xf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42" fillId="0" borderId="0"/>
    <xf numFmtId="0" fontId="43" fillId="0" borderId="0" applyFont="0" applyFill="0" applyBorder="0" applyAlignment="0" applyProtection="0"/>
    <xf numFmtId="181" fontId="44" fillId="0" borderId="0"/>
    <xf numFmtId="40" fontId="45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82" fontId="23" fillId="0" borderId="0"/>
    <xf numFmtId="183" fontId="23" fillId="0" borderId="0"/>
    <xf numFmtId="38" fontId="46" fillId="16" borderId="0" applyNumberFormat="0" applyBorder="0" applyAlignment="0" applyProtection="0"/>
    <xf numFmtId="0" fontId="47" fillId="0" borderId="0">
      <alignment horizontal="left"/>
    </xf>
    <xf numFmtId="10" fontId="46" fillId="17" borderId="1" applyNumberFormat="0" applyBorder="0" applyAlignment="0" applyProtection="0"/>
    <xf numFmtId="0" fontId="48" fillId="0" borderId="2"/>
    <xf numFmtId="184" fontId="23" fillId="0" borderId="0"/>
    <xf numFmtId="0" fontId="42" fillId="0" borderId="0"/>
    <xf numFmtId="10" fontId="5" fillId="0" borderId="0" applyFont="0" applyFill="0" applyBorder="0" applyAlignment="0" applyProtection="0"/>
    <xf numFmtId="0" fontId="48" fillId="0" borderId="0"/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2" borderId="3" applyNumberFormat="0" applyAlignment="0" applyProtection="0">
      <alignment vertical="center"/>
    </xf>
    <xf numFmtId="186" fontId="23" fillId="0" borderId="0">
      <protection locked="0"/>
    </xf>
    <xf numFmtId="0" fontId="24" fillId="0" borderId="0">
      <protection locked="0"/>
    </xf>
    <xf numFmtId="0" fontId="24" fillId="0" borderId="0">
      <protection locked="0"/>
    </xf>
    <xf numFmtId="0" fontId="25" fillId="3" borderId="0" applyNumberFormat="0" applyBorder="0" applyAlignment="0" applyProtection="0">
      <alignment vertical="center"/>
    </xf>
    <xf numFmtId="0" fontId="26" fillId="0" borderId="0">
      <protection locked="0"/>
    </xf>
    <xf numFmtId="0" fontId="26" fillId="0" borderId="0">
      <protection locked="0"/>
    </xf>
    <xf numFmtId="0" fontId="27" fillId="23" borderId="4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5" borderId="5" applyNumberFormat="0" applyAlignment="0" applyProtection="0">
      <alignment vertical="center"/>
    </xf>
    <xf numFmtId="179" fontId="3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7" borderId="3" applyNumberFormat="0" applyAlignment="0" applyProtection="0">
      <alignment vertical="center"/>
    </xf>
    <xf numFmtId="4" fontId="26" fillId="0" borderId="0">
      <protection locked="0"/>
    </xf>
    <xf numFmtId="187" fontId="23" fillId="0" borderId="0">
      <protection locked="0"/>
    </xf>
    <xf numFmtId="0" fontId="35" fillId="0" borderId="0" applyNumberFormat="0" applyFill="0" applyBorder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22" borderId="11" applyNumberFormat="0" applyAlignment="0" applyProtection="0">
      <alignment vertical="center"/>
    </xf>
    <xf numFmtId="178" fontId="41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3" fillId="0" borderId="0">
      <protection locked="0"/>
    </xf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6" fillId="0" borderId="12">
      <protection locked="0"/>
    </xf>
    <xf numFmtId="184" fontId="23" fillId="0" borderId="0">
      <protection locked="0"/>
    </xf>
    <xf numFmtId="188" fontId="23" fillId="0" borderId="0">
      <protection locked="0"/>
    </xf>
    <xf numFmtId="202" fontId="1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13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13" xfId="0" quotePrefix="1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7" xfId="0" applyFont="1" applyBorder="1">
      <alignment vertical="center"/>
    </xf>
    <xf numFmtId="0" fontId="15" fillId="0" borderId="0" xfId="0" applyFont="1" applyBorder="1">
      <alignment vertical="center"/>
    </xf>
    <xf numFmtId="177" fontId="8" fillId="0" borderId="14" xfId="0" applyNumberFormat="1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14" fillId="0" borderId="0" xfId="0" applyFont="1" applyBorder="1" applyAlignment="1">
      <alignment horizontal="center" vertical="center"/>
    </xf>
    <xf numFmtId="177" fontId="8" fillId="0" borderId="0" xfId="0" applyNumberFormat="1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13" xfId="0" quotePrefix="1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8" fillId="0" borderId="14" xfId="0" applyFont="1" applyFill="1" applyBorder="1" applyAlignment="1">
      <alignment vertical="center"/>
    </xf>
    <xf numFmtId="9" fontId="8" fillId="0" borderId="0" xfId="0" applyNumberFormat="1" applyFont="1" applyFill="1" applyBorder="1" applyAlignment="1">
      <alignment horizontal="center" vertical="center"/>
    </xf>
    <xf numFmtId="0" fontId="8" fillId="26" borderId="0" xfId="0" applyFont="1" applyFill="1" applyBorder="1" applyAlignment="1">
      <alignment horizontal="center" vertical="center"/>
    </xf>
    <xf numFmtId="0" fontId="49" fillId="26" borderId="0" xfId="0" applyFont="1" applyFill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9" fontId="8" fillId="0" borderId="0" xfId="50" applyFont="1" applyAlignment="1">
      <alignment horizontal="center" vertical="center"/>
    </xf>
    <xf numFmtId="176" fontId="17" fillId="27" borderId="15" xfId="0" applyNumberFormat="1" applyFont="1" applyFill="1" applyBorder="1" applyAlignment="1">
      <alignment horizontal="right" vertical="center"/>
    </xf>
    <xf numFmtId="190" fontId="17" fillId="27" borderId="15" xfId="0" applyNumberFormat="1" applyFont="1" applyFill="1" applyBorder="1" applyAlignment="1">
      <alignment horizontal="right" vertical="center"/>
    </xf>
    <xf numFmtId="0" fontId="8" fillId="27" borderId="15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8" fillId="0" borderId="19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3" fillId="0" borderId="13" xfId="72" applyBorder="1" applyAlignment="1" applyProtection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3" fillId="0" borderId="25" xfId="72" applyBorder="1" applyAlignment="1" applyProtection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7" fillId="0" borderId="13" xfId="0" applyFont="1" applyBorder="1" applyAlignment="1">
      <alignment vertical="center" wrapText="1"/>
    </xf>
    <xf numFmtId="0" fontId="50" fillId="0" borderId="0" xfId="0" applyFont="1" applyBorder="1" applyAlignment="1">
      <alignment vertical="center"/>
    </xf>
    <xf numFmtId="0" fontId="50" fillId="0" borderId="0" xfId="0" applyFont="1" applyBorder="1" applyAlignment="1">
      <alignment vertical="center" wrapText="1"/>
    </xf>
    <xf numFmtId="0" fontId="17" fillId="27" borderId="21" xfId="0" applyFont="1" applyFill="1" applyBorder="1" applyAlignment="1">
      <alignment horizontal="center" vertical="center"/>
    </xf>
    <xf numFmtId="0" fontId="18" fillId="27" borderId="22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46" fillId="0" borderId="27" xfId="0" applyFont="1" applyBorder="1" applyAlignment="1">
      <alignment horizontal="center" vertical="center"/>
    </xf>
    <xf numFmtId="41" fontId="46" fillId="26" borderId="1" xfId="55" applyFont="1" applyFill="1" applyBorder="1" applyAlignment="1" applyProtection="1">
      <alignment horizontal="left" vertical="center"/>
      <protection locked="0"/>
    </xf>
    <xf numFmtId="0" fontId="46" fillId="26" borderId="1" xfId="0" applyFont="1" applyFill="1" applyBorder="1" applyAlignment="1">
      <alignment vertical="center"/>
    </xf>
    <xf numFmtId="0" fontId="46" fillId="26" borderId="1" xfId="0" applyFont="1" applyFill="1" applyBorder="1" applyAlignment="1">
      <alignment horizontal="center" vertical="center"/>
    </xf>
    <xf numFmtId="176" fontId="46" fillId="26" borderId="1" xfId="0" applyNumberFormat="1" applyFont="1" applyFill="1" applyBorder="1" applyAlignment="1">
      <alignment horizontal="right" vertical="center"/>
    </xf>
    <xf numFmtId="190" fontId="46" fillId="26" borderId="1" xfId="0" applyNumberFormat="1" applyFont="1" applyFill="1" applyBorder="1" applyAlignment="1">
      <alignment horizontal="right" vertical="center"/>
    </xf>
    <xf numFmtId="0" fontId="46" fillId="26" borderId="1" xfId="0" applyFont="1" applyFill="1" applyBorder="1" applyAlignment="1">
      <alignment horizontal="center" vertical="center" wrapText="1"/>
    </xf>
    <xf numFmtId="41" fontId="46" fillId="28" borderId="1" xfId="55" applyFont="1" applyFill="1" applyBorder="1" applyAlignment="1" applyProtection="1">
      <alignment horizontal="center" vertical="center"/>
      <protection locked="0"/>
    </xf>
    <xf numFmtId="190" fontId="55" fillId="28" borderId="1" xfId="0" applyNumberFormat="1" applyFont="1" applyFill="1" applyBorder="1" applyAlignment="1">
      <alignment horizontal="right" vertical="center"/>
    </xf>
    <xf numFmtId="0" fontId="46" fillId="28" borderId="1" xfId="0" applyFont="1" applyFill="1" applyBorder="1" applyAlignment="1">
      <alignment horizontal="center" vertical="center"/>
    </xf>
    <xf numFmtId="0" fontId="46" fillId="28" borderId="1" xfId="0" quotePrefix="1" applyFont="1" applyFill="1" applyBorder="1" applyAlignment="1">
      <alignment horizontal="center" vertical="center"/>
    </xf>
    <xf numFmtId="0" fontId="56" fillId="28" borderId="1" xfId="0" applyFont="1" applyFill="1" applyBorder="1" applyAlignment="1">
      <alignment horizontal="center" vertical="center"/>
    </xf>
    <xf numFmtId="0" fontId="57" fillId="28" borderId="1" xfId="0" applyFont="1" applyFill="1" applyBorder="1" applyAlignment="1">
      <alignment horizontal="left" vertical="center" wrapText="1" indent="1"/>
    </xf>
    <xf numFmtId="197" fontId="55" fillId="28" borderId="1" xfId="0" applyNumberFormat="1" applyFont="1" applyFill="1" applyBorder="1" applyAlignment="1">
      <alignment horizontal="right" vertical="center"/>
    </xf>
    <xf numFmtId="200" fontId="55" fillId="28" borderId="1" xfId="0" applyNumberFormat="1" applyFont="1" applyFill="1" applyBorder="1" applyAlignment="1">
      <alignment horizontal="right" vertical="center"/>
    </xf>
    <xf numFmtId="41" fontId="46" fillId="29" borderId="1" xfId="55" applyFont="1" applyFill="1" applyBorder="1" applyAlignment="1" applyProtection="1">
      <alignment horizontal="left" vertical="center"/>
      <protection locked="0"/>
    </xf>
    <xf numFmtId="0" fontId="54" fillId="29" borderId="1" xfId="0" applyFont="1" applyFill="1" applyBorder="1" applyAlignment="1">
      <alignment horizontal="left" vertical="center" wrapText="1" indent="1"/>
    </xf>
    <xf numFmtId="197" fontId="55" fillId="29" borderId="1" xfId="0" applyNumberFormat="1" applyFont="1" applyFill="1" applyBorder="1" applyAlignment="1">
      <alignment horizontal="right" vertical="center"/>
    </xf>
    <xf numFmtId="200" fontId="55" fillId="29" borderId="1" xfId="0" applyNumberFormat="1" applyFont="1" applyFill="1" applyBorder="1" applyAlignment="1">
      <alignment horizontal="right" vertical="center"/>
    </xf>
    <xf numFmtId="190" fontId="55" fillId="29" borderId="1" xfId="0" applyNumberFormat="1" applyFont="1" applyFill="1" applyBorder="1" applyAlignment="1">
      <alignment horizontal="right" vertical="center"/>
    </xf>
    <xf numFmtId="0" fontId="46" fillId="29" borderId="1" xfId="0" applyFont="1" applyFill="1" applyBorder="1" applyAlignment="1">
      <alignment horizontal="center" vertical="center"/>
    </xf>
    <xf numFmtId="0" fontId="46" fillId="29" borderId="1" xfId="0" quotePrefix="1" applyFont="1" applyFill="1" applyBorder="1" applyAlignment="1">
      <alignment horizontal="center" vertical="center"/>
    </xf>
    <xf numFmtId="41" fontId="46" fillId="29" borderId="1" xfId="55" applyFont="1" applyFill="1" applyBorder="1" applyAlignment="1" applyProtection="1">
      <alignment vertical="center"/>
      <protection locked="0"/>
    </xf>
    <xf numFmtId="0" fontId="8" fillId="0" borderId="40" xfId="0" applyFont="1" applyBorder="1" applyAlignment="1">
      <alignment horizontal="center" vertical="center"/>
    </xf>
    <xf numFmtId="0" fontId="58" fillId="0" borderId="35" xfId="0" quotePrefix="1" applyFont="1" applyFill="1" applyBorder="1" applyAlignment="1">
      <alignment horizontal="left" vertical="center"/>
    </xf>
    <xf numFmtId="0" fontId="58" fillId="0" borderId="36" xfId="0" quotePrefix="1" applyFont="1" applyFill="1" applyBorder="1" applyAlignment="1">
      <alignment horizontal="left" vertical="center"/>
    </xf>
    <xf numFmtId="0" fontId="59" fillId="0" borderId="38" xfId="0" applyFont="1" applyFill="1" applyBorder="1" applyAlignment="1">
      <alignment horizontal="left" vertical="center"/>
    </xf>
    <xf numFmtId="0" fontId="58" fillId="0" borderId="28" xfId="0" applyFont="1" applyFill="1" applyBorder="1" applyAlignment="1">
      <alignment horizontal="left" vertical="center"/>
    </xf>
    <xf numFmtId="0" fontId="58" fillId="0" borderId="29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Fill="1" applyBorder="1" applyAlignment="1">
      <alignment vertical="center"/>
    </xf>
    <xf numFmtId="0" fontId="52" fillId="0" borderId="0" xfId="0" applyFont="1" applyFill="1" applyBorder="1" applyAlignment="1">
      <alignment vertical="center"/>
    </xf>
    <xf numFmtId="0" fontId="53" fillId="0" borderId="0" xfId="0" applyFont="1" applyFill="1" applyBorder="1" applyAlignment="1">
      <alignment vertical="center"/>
    </xf>
    <xf numFmtId="0" fontId="8" fillId="0" borderId="37" xfId="0" applyFont="1" applyBorder="1" applyAlignment="1">
      <alignment horizontal="center" vertical="center"/>
    </xf>
    <xf numFmtId="0" fontId="17" fillId="0" borderId="34" xfId="0" quotePrefix="1" applyFont="1" applyFill="1" applyBorder="1" applyAlignment="1">
      <alignment horizontal="center" vertical="center"/>
    </xf>
    <xf numFmtId="0" fontId="17" fillId="0" borderId="33" xfId="0" quotePrefix="1" applyFont="1" applyFill="1" applyBorder="1" applyAlignment="1">
      <alignment horizontal="center" vertical="center"/>
    </xf>
    <xf numFmtId="0" fontId="17" fillId="0" borderId="32" xfId="0" quotePrefix="1" applyFont="1" applyFill="1" applyBorder="1" applyAlignment="1">
      <alignment horizontal="center" vertical="center"/>
    </xf>
    <xf numFmtId="0" fontId="53" fillId="0" borderId="31" xfId="0" applyFont="1" applyFill="1" applyBorder="1" applyAlignment="1">
      <alignment horizontal="left" vertical="center"/>
    </xf>
    <xf numFmtId="0" fontId="53" fillId="0" borderId="30" xfId="0" applyFont="1" applyFill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8" fillId="0" borderId="39" xfId="0" quotePrefix="1" applyFont="1" applyFill="1" applyBorder="1" applyAlignment="1">
      <alignment horizontal="center" vertical="center"/>
    </xf>
  </cellXfs>
  <cellStyles count="77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category" xfId="19" xr:uid="{00000000-0005-0000-0000-000012000000}"/>
    <cellStyle name="Comma [0]_견적" xfId="20" xr:uid="{00000000-0005-0000-0000-000013000000}"/>
    <cellStyle name="comma zerodec" xfId="21" xr:uid="{00000000-0005-0000-0000-000014000000}"/>
    <cellStyle name="Comma_5 Series SW" xfId="22" xr:uid="{00000000-0005-0000-0000-000015000000}"/>
    <cellStyle name="Currency [0]_견적" xfId="23" xr:uid="{00000000-0005-0000-0000-000016000000}"/>
    <cellStyle name="Currency_견적" xfId="24" xr:uid="{00000000-0005-0000-0000-000017000000}"/>
    <cellStyle name="Currency1" xfId="25" xr:uid="{00000000-0005-0000-0000-000018000000}"/>
    <cellStyle name="Dollar (zero dec)" xfId="26" xr:uid="{00000000-0005-0000-0000-000019000000}"/>
    <cellStyle name="Grey" xfId="27" xr:uid="{00000000-0005-0000-0000-00001A000000}"/>
    <cellStyle name="HEADER" xfId="28" xr:uid="{00000000-0005-0000-0000-00001B000000}"/>
    <cellStyle name="Input [yellow]" xfId="29" xr:uid="{00000000-0005-0000-0000-00001C000000}"/>
    <cellStyle name="Model" xfId="30" xr:uid="{00000000-0005-0000-0000-00001D000000}"/>
    <cellStyle name="Normal - Style1" xfId="31" xr:uid="{00000000-0005-0000-0000-00001E000000}"/>
    <cellStyle name="Normal_5 Series SW" xfId="32" xr:uid="{00000000-0005-0000-0000-00001F000000}"/>
    <cellStyle name="Percent [2]" xfId="33" xr:uid="{00000000-0005-0000-0000-000020000000}"/>
    <cellStyle name="subhead" xfId="34" xr:uid="{00000000-0005-0000-0000-000021000000}"/>
    <cellStyle name="강조색1" xfId="35" builtinId="29" customBuiltin="1"/>
    <cellStyle name="강조색2" xfId="36" builtinId="33" customBuiltin="1"/>
    <cellStyle name="강조색3" xfId="37" builtinId="37" customBuiltin="1"/>
    <cellStyle name="강조색4" xfId="38" builtinId="41" customBuiltin="1"/>
    <cellStyle name="강조색5" xfId="39" builtinId="45" customBuiltin="1"/>
    <cellStyle name="강조색6" xfId="40" builtinId="49" customBuiltin="1"/>
    <cellStyle name="경고문" xfId="41" builtinId="11" customBuiltin="1"/>
    <cellStyle name="계산" xfId="42" builtinId="22" customBuiltin="1"/>
    <cellStyle name="고정소숫점" xfId="43" xr:uid="{00000000-0005-0000-0000-00002A000000}"/>
    <cellStyle name="고정출력1" xfId="44" xr:uid="{00000000-0005-0000-0000-00002B000000}"/>
    <cellStyle name="고정출력2" xfId="45" xr:uid="{00000000-0005-0000-0000-00002C000000}"/>
    <cellStyle name="나쁨" xfId="46" builtinId="27" customBuiltin="1"/>
    <cellStyle name="날짜" xfId="47" xr:uid="{00000000-0005-0000-0000-00002E000000}"/>
    <cellStyle name="달러" xfId="48" xr:uid="{00000000-0005-0000-0000-00002F000000}"/>
    <cellStyle name="메모" xfId="49" builtinId="10" customBuiltin="1"/>
    <cellStyle name="백분율" xfId="50" builtinId="5"/>
    <cellStyle name="보통" xfId="51" builtinId="28" customBuiltin="1"/>
    <cellStyle name="설명 텍스트" xfId="52" builtinId="53" customBuiltin="1"/>
    <cellStyle name="셀 확인" xfId="53" builtinId="23" customBuiltin="1"/>
    <cellStyle name="숫자(R)" xfId="54" xr:uid="{00000000-0005-0000-0000-000035000000}"/>
    <cellStyle name="쉼표 [0]" xfId="55" builtinId="6"/>
    <cellStyle name="쉼표 [0] 2" xfId="76" xr:uid="{A293A31E-4B78-4D12-83E3-A014C1182FC1}"/>
    <cellStyle name="연결된 셀" xfId="56" builtinId="24" customBuiltin="1"/>
    <cellStyle name="요약" xfId="57" builtinId="25" customBuiltin="1"/>
    <cellStyle name="입력" xfId="58" builtinId="20" customBuiltin="1"/>
    <cellStyle name="자리수" xfId="59" xr:uid="{00000000-0005-0000-0000-00003A000000}"/>
    <cellStyle name="자리수0" xfId="60" xr:uid="{00000000-0005-0000-0000-00003B000000}"/>
    <cellStyle name="제목" xfId="61" builtinId="15" customBuiltin="1"/>
    <cellStyle name="제목 1" xfId="62" builtinId="16" customBuiltin="1"/>
    <cellStyle name="제목 2" xfId="63" builtinId="17" customBuiltin="1"/>
    <cellStyle name="제목 3" xfId="64" builtinId="18" customBuiltin="1"/>
    <cellStyle name="제목 4" xfId="65" builtinId="19" customBuiltin="1"/>
    <cellStyle name="좋음" xfId="66" builtinId="26" customBuiltin="1"/>
    <cellStyle name="출력" xfId="67" builtinId="21" customBuiltin="1"/>
    <cellStyle name="콤마 [0]_(월초P)" xfId="68" xr:uid="{00000000-0005-0000-0000-000043000000}"/>
    <cellStyle name="콤마_(type)총괄" xfId="69" xr:uid="{00000000-0005-0000-0000-000044000000}"/>
    <cellStyle name="퍼센트" xfId="70" xr:uid="{00000000-0005-0000-0000-000045000000}"/>
    <cellStyle name="표준" xfId="0" builtinId="0"/>
    <cellStyle name="표준 2" xfId="71" xr:uid="{00000000-0005-0000-0000-000047000000}"/>
    <cellStyle name="하이퍼링크" xfId="72" builtinId="8"/>
    <cellStyle name="합산" xfId="73" xr:uid="{00000000-0005-0000-0000-000049000000}"/>
    <cellStyle name="화폐기호" xfId="74" xr:uid="{00000000-0005-0000-0000-00004A000000}"/>
    <cellStyle name="화폐기호0" xfId="75" xr:uid="{00000000-0005-0000-0000-00004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857250</xdr:colOff>
      <xdr:row>65</xdr:row>
      <xdr:rowOff>0</xdr:rowOff>
    </xdr:from>
    <xdr:to>
      <xdr:col>5</xdr:col>
      <xdr:colOff>762000</xdr:colOff>
      <xdr:row>65</xdr:row>
      <xdr:rowOff>0</xdr:rowOff>
    </xdr:to>
    <xdr:pic>
      <xdr:nvPicPr>
        <xdr:cNvPr id="17713" name="Picture 6" descr="CNB싸인방">
          <a:extLst>
            <a:ext uri="{FF2B5EF4-FFF2-40B4-BE49-F238E27FC236}">
              <a16:creationId xmlns:a16="http://schemas.microsoft.com/office/drawing/2014/main" id="{00000000-0008-0000-0000-0000314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10715625"/>
          <a:ext cx="2076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bnatural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tabSelected="1" view="pageBreakPreview" zoomScaleNormal="100" zoomScaleSheetLayoutView="100" zoomScalePageLayoutView="87" workbookViewId="0">
      <selection activeCell="J15" sqref="J15"/>
    </sheetView>
  </sheetViews>
  <sheetFormatPr defaultRowHeight="15" customHeight="1"/>
  <cols>
    <col min="1" max="1" width="19.44140625" style="8" customWidth="1"/>
    <col min="2" max="2" width="36.21875" style="8" bestFit="1" customWidth="1"/>
    <col min="3" max="4" width="11.88671875" style="8" customWidth="1"/>
    <col min="5" max="5" width="13.44140625" style="8" customWidth="1"/>
    <col min="6" max="6" width="12.33203125" style="8" customWidth="1"/>
    <col min="7" max="7" width="1.21875" style="8" customWidth="1"/>
    <col min="8" max="16" width="8" style="8" bestFit="1" customWidth="1"/>
    <col min="17" max="16384" width="8.88671875" style="8"/>
  </cols>
  <sheetData>
    <row r="1" spans="1:16" s="2" customFormat="1" ht="36.75" customHeight="1" thickBot="1">
      <c r="A1" s="48" t="s">
        <v>23</v>
      </c>
      <c r="B1" s="49"/>
      <c r="C1" s="49"/>
      <c r="D1" s="49"/>
      <c r="E1" s="49"/>
      <c r="F1" s="50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s="3" customFormat="1" ht="15.75" thickTop="1">
      <c r="A2" s="51" t="s">
        <v>24</v>
      </c>
      <c r="B2" s="52"/>
      <c r="C2" s="52"/>
      <c r="D2" s="52"/>
      <c r="E2" s="52"/>
      <c r="F2" s="53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s="3" customFormat="1">
      <c r="A3" s="51" t="s">
        <v>25</v>
      </c>
      <c r="B3" s="52"/>
      <c r="C3" s="52"/>
      <c r="D3" s="52"/>
      <c r="E3" s="52"/>
      <c r="F3" s="53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s="3" customFormat="1" ht="15.75" thickBot="1">
      <c r="A4" s="54" t="s">
        <v>58</v>
      </c>
      <c r="B4" s="55"/>
      <c r="C4" s="55"/>
      <c r="D4" s="55"/>
      <c r="E4" s="55"/>
      <c r="F4" s="56"/>
      <c r="G4" s="22"/>
      <c r="H4" s="5"/>
      <c r="I4" s="5"/>
      <c r="J4" s="5"/>
      <c r="K4" s="5"/>
      <c r="L4" s="5"/>
      <c r="M4" s="5"/>
      <c r="N4" s="5"/>
      <c r="O4" s="5"/>
      <c r="P4" s="5"/>
    </row>
    <row r="5" spans="1:16" s="3" customFormat="1" ht="15.75" thickTop="1">
      <c r="A5" s="46"/>
      <c r="B5" s="22"/>
      <c r="C5" s="22"/>
      <c r="D5" s="22"/>
      <c r="E5" s="22"/>
      <c r="F5" s="47"/>
      <c r="G5" s="22"/>
      <c r="H5" s="5"/>
      <c r="I5" s="5"/>
      <c r="J5" s="5"/>
      <c r="K5" s="5"/>
      <c r="L5" s="5"/>
      <c r="M5" s="5"/>
      <c r="N5" s="5"/>
      <c r="O5" s="5"/>
      <c r="P5" s="5"/>
    </row>
    <row r="6" spans="1:16" s="6" customFormat="1" ht="23.25" customHeight="1">
      <c r="A6" s="62" t="s">
        <v>2</v>
      </c>
      <c r="B6" s="63"/>
      <c r="C6" s="63"/>
      <c r="D6" s="63"/>
      <c r="E6" s="63"/>
      <c r="F6" s="64"/>
      <c r="G6" s="7"/>
    </row>
    <row r="7" spans="1:16" s="6" customFormat="1" ht="4.7" customHeight="1">
      <c r="A7" s="39"/>
      <c r="B7" s="40"/>
      <c r="C7" s="40"/>
      <c r="D7" s="44"/>
      <c r="E7" s="40"/>
      <c r="F7" s="41"/>
      <c r="G7" s="7"/>
    </row>
    <row r="8" spans="1:16" s="6" customFormat="1" ht="4.7" customHeight="1">
      <c r="A8" s="39"/>
      <c r="B8" s="40"/>
      <c r="C8" s="40"/>
      <c r="D8" s="44"/>
      <c r="E8" s="40"/>
      <c r="F8" s="41"/>
      <c r="G8" s="7"/>
    </row>
    <row r="9" spans="1:16" s="12" customFormat="1" ht="12">
      <c r="A9" s="9" t="s">
        <v>12</v>
      </c>
      <c r="B9" s="19"/>
      <c r="C9" s="17"/>
      <c r="D9" s="17"/>
      <c r="E9" s="21" t="s">
        <v>15</v>
      </c>
      <c r="F9" s="18"/>
      <c r="G9" s="14"/>
      <c r="H9" s="13"/>
      <c r="I9" s="13"/>
      <c r="J9" s="13"/>
      <c r="K9" s="13"/>
      <c r="L9" s="13"/>
      <c r="M9" s="13"/>
      <c r="N9" s="13"/>
      <c r="O9" s="13"/>
      <c r="P9" s="13"/>
    </row>
    <row r="10" spans="1:16" s="12" customFormat="1" ht="13.15" customHeight="1">
      <c r="A10" s="57" t="s">
        <v>57</v>
      </c>
      <c r="B10" s="58"/>
      <c r="C10" s="13"/>
      <c r="D10" s="13"/>
      <c r="E10" s="15" t="s">
        <v>27</v>
      </c>
      <c r="F10" s="20"/>
      <c r="G10" s="23"/>
      <c r="H10" s="13"/>
      <c r="I10" s="13"/>
      <c r="J10" s="13"/>
      <c r="K10" s="13"/>
      <c r="L10" s="13"/>
      <c r="M10" s="13"/>
      <c r="N10" s="13"/>
      <c r="O10" s="13"/>
      <c r="P10" s="13"/>
    </row>
    <row r="11" spans="1:16" s="12" customFormat="1" ht="26.45" customHeight="1">
      <c r="A11" s="57" t="s">
        <v>26</v>
      </c>
      <c r="B11" s="59"/>
      <c r="C11" s="10"/>
      <c r="D11" s="10"/>
      <c r="E11" s="10"/>
      <c r="F11" s="11"/>
      <c r="G11" s="13"/>
    </row>
    <row r="12" spans="1:16" s="12" customFormat="1" ht="13.15" customHeight="1">
      <c r="A12" s="57" t="s">
        <v>16</v>
      </c>
      <c r="B12" s="59"/>
      <c r="C12" s="10"/>
      <c r="D12" s="10"/>
      <c r="E12" s="10"/>
      <c r="F12" s="11"/>
      <c r="G12" s="13"/>
    </row>
    <row r="13" spans="1:16" s="12" customFormat="1" ht="13.15" customHeight="1">
      <c r="A13" s="57"/>
      <c r="B13" s="59"/>
      <c r="C13" s="10"/>
      <c r="D13" s="10"/>
      <c r="E13" s="10"/>
      <c r="F13" s="11"/>
      <c r="G13" s="13"/>
    </row>
    <row r="14" spans="1:16" s="12" customFormat="1" ht="14.25" customHeight="1">
      <c r="A14" s="9" t="s">
        <v>3</v>
      </c>
      <c r="B14" s="13"/>
      <c r="C14" s="13"/>
      <c r="D14" s="13"/>
      <c r="E14" s="13"/>
      <c r="F14" s="11"/>
      <c r="G14" s="13"/>
    </row>
    <row r="15" spans="1:16" s="12" customFormat="1" ht="5.25" customHeight="1">
      <c r="A15" s="9"/>
      <c r="B15" s="13"/>
      <c r="C15" s="13"/>
      <c r="D15" s="13"/>
      <c r="E15" s="13"/>
      <c r="F15" s="11"/>
      <c r="G15" s="13"/>
    </row>
    <row r="16" spans="1:16" s="12" customFormat="1" ht="12">
      <c r="A16" s="9" t="s">
        <v>20</v>
      </c>
      <c r="B16" s="13"/>
      <c r="C16" s="13"/>
      <c r="D16" s="13"/>
      <c r="E16" s="13"/>
      <c r="F16" s="11"/>
      <c r="G16" s="13"/>
    </row>
    <row r="17" spans="1:16" s="12" customFormat="1" ht="12">
      <c r="A17" s="9" t="s">
        <v>21</v>
      </c>
      <c r="B17" s="13"/>
      <c r="C17" s="13"/>
      <c r="D17" s="13"/>
      <c r="E17" s="13"/>
      <c r="F17" s="11"/>
      <c r="G17" s="13"/>
    </row>
    <row r="18" spans="1:16" s="12" customFormat="1" ht="12">
      <c r="A18" s="9" t="s">
        <v>13</v>
      </c>
      <c r="B18" s="13"/>
      <c r="C18" s="13"/>
      <c r="D18" s="13"/>
      <c r="E18" s="13"/>
      <c r="F18" s="11"/>
      <c r="G18" s="13"/>
    </row>
    <row r="19" spans="1:16" s="12" customFormat="1" ht="12">
      <c r="A19" s="9" t="s">
        <v>22</v>
      </c>
      <c r="B19" s="13"/>
      <c r="C19" s="13"/>
      <c r="D19" s="13"/>
      <c r="E19" s="13"/>
      <c r="F19" s="11"/>
      <c r="G19" s="13"/>
    </row>
    <row r="20" spans="1:16" s="12" customFormat="1" ht="12">
      <c r="A20" s="9"/>
      <c r="B20" s="13"/>
      <c r="C20" s="30"/>
      <c r="D20" s="30"/>
      <c r="E20" s="13"/>
      <c r="F20" s="11"/>
      <c r="G20" s="13"/>
    </row>
    <row r="21" spans="1:16" s="12" customFormat="1" ht="12">
      <c r="A21" s="9"/>
      <c r="B21" s="13"/>
      <c r="C21" s="13" t="s">
        <v>4</v>
      </c>
      <c r="D21" s="13"/>
      <c r="E21" s="13"/>
      <c r="F21" s="11"/>
      <c r="G21" s="13"/>
    </row>
    <row r="22" spans="1:16" s="12" customFormat="1" ht="19.899999999999999" customHeight="1">
      <c r="A22" s="65" t="s">
        <v>14</v>
      </c>
      <c r="B22" s="65" t="s">
        <v>17</v>
      </c>
      <c r="C22" s="65" t="s">
        <v>18</v>
      </c>
      <c r="D22" s="65" t="s">
        <v>56</v>
      </c>
      <c r="E22" s="65" t="s">
        <v>19</v>
      </c>
      <c r="F22" s="65" t="s">
        <v>0</v>
      </c>
      <c r="G22" s="4"/>
      <c r="H22" s="25"/>
      <c r="I22" s="25"/>
      <c r="J22" s="25"/>
      <c r="K22" s="25"/>
      <c r="L22" s="25"/>
      <c r="M22" s="25"/>
      <c r="N22" s="25"/>
      <c r="O22" s="25"/>
      <c r="P22" s="25"/>
    </row>
    <row r="23" spans="1:16" s="12" customFormat="1" ht="19.899999999999999" customHeight="1">
      <c r="A23" s="72" t="s">
        <v>48</v>
      </c>
      <c r="B23" s="77" t="s">
        <v>30</v>
      </c>
      <c r="C23" s="78">
        <v>775</v>
      </c>
      <c r="D23" s="79">
        <v>0</v>
      </c>
      <c r="E23" s="73">
        <f>C23*D23</f>
        <v>0</v>
      </c>
      <c r="F23" s="74"/>
      <c r="G23" s="4"/>
      <c r="H23" s="24"/>
      <c r="I23" s="35"/>
      <c r="J23" s="24"/>
      <c r="K23" s="24"/>
      <c r="L23" s="24"/>
      <c r="M23" s="24"/>
      <c r="N23" s="24"/>
      <c r="O23" s="24"/>
      <c r="P23" s="24"/>
    </row>
    <row r="24" spans="1:16" s="12" customFormat="1" ht="19.899999999999999" customHeight="1">
      <c r="A24" s="72"/>
      <c r="B24" s="77" t="s">
        <v>31</v>
      </c>
      <c r="C24" s="78">
        <v>1550</v>
      </c>
      <c r="D24" s="79"/>
      <c r="E24" s="73">
        <f t="shared" ref="E24:E49" si="0">C24*D24</f>
        <v>0</v>
      </c>
      <c r="F24" s="74"/>
      <c r="G24" s="4"/>
      <c r="H24" s="24"/>
      <c r="I24" s="35"/>
      <c r="J24" s="24"/>
      <c r="K24" s="24"/>
      <c r="L24" s="24"/>
      <c r="M24" s="24"/>
      <c r="N24" s="24"/>
      <c r="O24" s="24"/>
      <c r="P24" s="24"/>
    </row>
    <row r="25" spans="1:16" s="12" customFormat="1" ht="19.899999999999999" customHeight="1">
      <c r="A25" s="72"/>
      <c r="B25" s="77" t="s">
        <v>32</v>
      </c>
      <c r="C25" s="78">
        <v>3100</v>
      </c>
      <c r="D25" s="79"/>
      <c r="E25" s="73">
        <f t="shared" si="0"/>
        <v>0</v>
      </c>
      <c r="F25" s="76"/>
      <c r="G25" s="4"/>
      <c r="H25" s="24"/>
      <c r="I25" s="34"/>
      <c r="J25" s="24"/>
      <c r="K25" s="24"/>
      <c r="L25" s="24"/>
      <c r="M25" s="24"/>
      <c r="N25" s="24"/>
      <c r="O25" s="24"/>
      <c r="P25" s="24"/>
    </row>
    <row r="26" spans="1:16" s="12" customFormat="1" ht="19.899999999999999" customHeight="1">
      <c r="A26" s="72"/>
      <c r="B26" s="77" t="s">
        <v>33</v>
      </c>
      <c r="C26" s="78">
        <v>7750</v>
      </c>
      <c r="D26" s="79"/>
      <c r="E26" s="73">
        <f t="shared" si="0"/>
        <v>0</v>
      </c>
      <c r="F26" s="74"/>
      <c r="G26" s="4"/>
      <c r="H26" s="24"/>
      <c r="I26" s="35"/>
      <c r="J26" s="24"/>
      <c r="K26" s="24"/>
      <c r="L26" s="24"/>
      <c r="M26" s="24"/>
      <c r="N26" s="24"/>
      <c r="O26" s="24"/>
      <c r="P26" s="24"/>
    </row>
    <row r="27" spans="1:16" s="12" customFormat="1" ht="19.899999999999999" customHeight="1">
      <c r="A27" s="72"/>
      <c r="B27" s="77" t="s">
        <v>34</v>
      </c>
      <c r="C27" s="78">
        <v>15500</v>
      </c>
      <c r="D27" s="79"/>
      <c r="E27" s="73">
        <f t="shared" si="0"/>
        <v>0</v>
      </c>
      <c r="F27" s="74"/>
      <c r="G27" s="4"/>
      <c r="H27" s="24"/>
      <c r="I27" s="35"/>
      <c r="J27" s="24"/>
      <c r="K27" s="24"/>
      <c r="L27" s="24"/>
      <c r="M27" s="24"/>
      <c r="N27" s="24"/>
      <c r="O27" s="24"/>
      <c r="P27" s="24"/>
    </row>
    <row r="28" spans="1:16" s="12" customFormat="1" ht="19.899999999999999" customHeight="1">
      <c r="A28" s="66"/>
      <c r="B28" s="86"/>
      <c r="C28" s="82"/>
      <c r="D28" s="83"/>
      <c r="E28" s="84">
        <f t="shared" si="0"/>
        <v>0</v>
      </c>
      <c r="F28" s="85"/>
      <c r="G28" s="4"/>
      <c r="H28" s="24"/>
      <c r="I28" s="35"/>
      <c r="J28" s="24"/>
      <c r="K28" s="24"/>
      <c r="L28" s="24"/>
      <c r="M28" s="24"/>
      <c r="N28" s="24"/>
      <c r="O28" s="24"/>
      <c r="P28" s="24"/>
    </row>
    <row r="29" spans="1:16" s="12" customFormat="1" ht="19.899999999999999" customHeight="1">
      <c r="A29" s="72" t="s">
        <v>49</v>
      </c>
      <c r="B29" s="77" t="s">
        <v>35</v>
      </c>
      <c r="C29" s="78">
        <v>15500</v>
      </c>
      <c r="D29" s="79"/>
      <c r="E29" s="73">
        <f t="shared" si="0"/>
        <v>0</v>
      </c>
      <c r="F29" s="74"/>
      <c r="G29" s="4"/>
      <c r="H29" s="24"/>
      <c r="I29" s="35"/>
      <c r="J29" s="24"/>
      <c r="K29" s="24"/>
      <c r="L29" s="24"/>
      <c r="M29" s="24"/>
      <c r="N29" s="24"/>
      <c r="O29" s="24"/>
      <c r="P29" s="24"/>
    </row>
    <row r="30" spans="1:16" s="12" customFormat="1" ht="19.899999999999999" customHeight="1">
      <c r="A30" s="72"/>
      <c r="B30" s="77" t="s">
        <v>36</v>
      </c>
      <c r="C30" s="78">
        <v>23230</v>
      </c>
      <c r="D30" s="79"/>
      <c r="E30" s="73">
        <f t="shared" si="0"/>
        <v>0</v>
      </c>
      <c r="F30" s="74"/>
      <c r="G30" s="45"/>
      <c r="H30" s="24"/>
      <c r="I30" s="35"/>
      <c r="J30" s="24"/>
      <c r="K30" s="24"/>
      <c r="L30" s="24"/>
      <c r="M30" s="24"/>
      <c r="N30" s="24"/>
      <c r="O30" s="24"/>
      <c r="P30" s="24"/>
    </row>
    <row r="31" spans="1:16" s="12" customFormat="1" ht="19.899999999999999" customHeight="1">
      <c r="A31" s="72"/>
      <c r="B31" s="77" t="s">
        <v>37</v>
      </c>
      <c r="C31" s="78">
        <v>46450</v>
      </c>
      <c r="D31" s="79"/>
      <c r="E31" s="73">
        <f t="shared" si="0"/>
        <v>0</v>
      </c>
      <c r="F31" s="74"/>
      <c r="G31" s="45"/>
      <c r="H31" s="24"/>
      <c r="I31" s="35"/>
      <c r="J31" s="24"/>
      <c r="K31" s="24"/>
      <c r="L31" s="24"/>
      <c r="M31" s="24"/>
      <c r="N31" s="24"/>
      <c r="O31" s="24"/>
      <c r="P31" s="24"/>
    </row>
    <row r="32" spans="1:16" s="12" customFormat="1" ht="19.899999999999999" customHeight="1">
      <c r="A32" s="72"/>
      <c r="B32" s="77" t="s">
        <v>38</v>
      </c>
      <c r="C32" s="78">
        <v>77410</v>
      </c>
      <c r="D32" s="79"/>
      <c r="E32" s="73">
        <f t="shared" si="0"/>
        <v>0</v>
      </c>
      <c r="F32" s="74"/>
      <c r="G32" s="45"/>
      <c r="H32" s="24"/>
      <c r="I32" s="35"/>
      <c r="J32" s="24"/>
      <c r="K32" s="24"/>
      <c r="L32" s="24"/>
      <c r="M32" s="24"/>
      <c r="N32" s="24"/>
      <c r="O32" s="24"/>
      <c r="P32" s="24"/>
    </row>
    <row r="33" spans="1:16" s="12" customFormat="1" ht="19.899999999999999" customHeight="1">
      <c r="A33" s="72"/>
      <c r="B33" s="77" t="s">
        <v>29</v>
      </c>
      <c r="C33" s="78">
        <v>154820</v>
      </c>
      <c r="D33" s="79"/>
      <c r="E33" s="73">
        <f t="shared" si="0"/>
        <v>0</v>
      </c>
      <c r="F33" s="74"/>
      <c r="G33" s="45"/>
      <c r="H33" s="24"/>
      <c r="I33" s="35"/>
      <c r="J33" s="24"/>
      <c r="K33" s="24"/>
      <c r="L33" s="24"/>
      <c r="M33" s="24"/>
      <c r="N33" s="24"/>
      <c r="O33" s="24"/>
      <c r="P33" s="24"/>
    </row>
    <row r="34" spans="1:16" s="12" customFormat="1" ht="19.899999999999999" customHeight="1">
      <c r="A34" s="72"/>
      <c r="B34" s="77" t="s">
        <v>39</v>
      </c>
      <c r="C34" s="78">
        <v>464460</v>
      </c>
      <c r="D34" s="79"/>
      <c r="E34" s="73">
        <f t="shared" si="0"/>
        <v>0</v>
      </c>
      <c r="F34" s="74"/>
      <c r="G34" s="45"/>
      <c r="H34" s="24"/>
      <c r="I34" s="35"/>
      <c r="J34" s="24"/>
      <c r="K34" s="24"/>
      <c r="L34" s="24"/>
      <c r="M34" s="24"/>
      <c r="N34" s="24"/>
      <c r="O34" s="24"/>
      <c r="P34" s="24"/>
    </row>
    <row r="35" spans="1:16" s="12" customFormat="1" ht="19.899999999999999" customHeight="1">
      <c r="A35" s="72"/>
      <c r="B35" s="77" t="s">
        <v>28</v>
      </c>
      <c r="C35" s="78">
        <v>774100</v>
      </c>
      <c r="D35" s="79">
        <v>1</v>
      </c>
      <c r="E35" s="73">
        <f t="shared" si="0"/>
        <v>774100</v>
      </c>
      <c r="F35" s="74"/>
      <c r="G35" s="45"/>
      <c r="H35" s="24"/>
      <c r="I35" s="35"/>
      <c r="J35" s="24"/>
      <c r="K35" s="24"/>
      <c r="L35" s="24"/>
      <c r="M35" s="24"/>
      <c r="N35" s="24"/>
      <c r="O35" s="24"/>
      <c r="P35" s="24"/>
    </row>
    <row r="36" spans="1:16" s="12" customFormat="1" ht="19.899999999999999" customHeight="1">
      <c r="A36" s="72"/>
      <c r="B36" s="77" t="s">
        <v>40</v>
      </c>
      <c r="C36" s="78">
        <v>1548200</v>
      </c>
      <c r="D36" s="79"/>
      <c r="E36" s="73">
        <f t="shared" si="0"/>
        <v>0</v>
      </c>
      <c r="F36" s="74"/>
      <c r="G36" s="45"/>
      <c r="H36" s="24"/>
      <c r="I36" s="35"/>
      <c r="J36" s="24"/>
      <c r="K36" s="24"/>
      <c r="L36" s="24"/>
      <c r="M36" s="24"/>
      <c r="N36" s="24"/>
      <c r="O36" s="24"/>
      <c r="P36" s="24"/>
    </row>
    <row r="37" spans="1:16" s="12" customFormat="1" ht="19.899999999999999" customHeight="1">
      <c r="A37" s="72"/>
      <c r="B37" s="77" t="s">
        <v>41</v>
      </c>
      <c r="C37" s="78">
        <v>99100</v>
      </c>
      <c r="D37" s="79"/>
      <c r="E37" s="73">
        <f t="shared" si="0"/>
        <v>0</v>
      </c>
      <c r="F37" s="74"/>
      <c r="G37" s="45"/>
      <c r="H37" s="24"/>
      <c r="I37" s="35"/>
      <c r="J37" s="24"/>
      <c r="K37" s="24"/>
      <c r="L37" s="24"/>
      <c r="M37" s="24"/>
      <c r="N37" s="24"/>
      <c r="O37" s="24"/>
      <c r="P37" s="24"/>
    </row>
    <row r="38" spans="1:16" s="12" customFormat="1" ht="19.899999999999999" customHeight="1">
      <c r="A38" s="72"/>
      <c r="B38" s="77" t="s">
        <v>42</v>
      </c>
      <c r="C38" s="78">
        <v>250800</v>
      </c>
      <c r="D38" s="79"/>
      <c r="E38" s="73">
        <f t="shared" si="0"/>
        <v>0</v>
      </c>
      <c r="F38" s="74"/>
      <c r="G38" s="45"/>
      <c r="H38" s="24"/>
      <c r="I38" s="35"/>
      <c r="J38" s="24"/>
      <c r="K38" s="24"/>
      <c r="L38" s="24"/>
      <c r="M38" s="24"/>
      <c r="N38" s="24"/>
      <c r="O38" s="24"/>
      <c r="P38" s="24"/>
    </row>
    <row r="39" spans="1:16" s="12" customFormat="1" ht="19.899999999999999" customHeight="1">
      <c r="A39" s="80"/>
      <c r="B39" s="81"/>
      <c r="C39" s="82"/>
      <c r="D39" s="83"/>
      <c r="E39" s="84">
        <f t="shared" si="0"/>
        <v>0</v>
      </c>
      <c r="F39" s="85"/>
      <c r="G39" s="45"/>
      <c r="H39" s="24"/>
      <c r="I39" s="35"/>
      <c r="J39" s="24"/>
      <c r="K39" s="24"/>
      <c r="L39" s="24"/>
      <c r="M39" s="24"/>
      <c r="N39" s="24"/>
      <c r="O39" s="24"/>
      <c r="P39" s="24"/>
    </row>
    <row r="40" spans="1:16" s="12" customFormat="1" ht="19.899999999999999" customHeight="1">
      <c r="A40" s="72" t="s">
        <v>50</v>
      </c>
      <c r="B40" s="77" t="s">
        <v>43</v>
      </c>
      <c r="C40" s="78">
        <v>77410</v>
      </c>
      <c r="D40" s="79"/>
      <c r="E40" s="73">
        <f t="shared" si="0"/>
        <v>0</v>
      </c>
      <c r="F40" s="74"/>
      <c r="G40" s="45"/>
      <c r="H40" s="24"/>
      <c r="I40" s="35"/>
      <c r="J40" s="24"/>
      <c r="K40" s="24"/>
      <c r="L40" s="24"/>
      <c r="M40" s="24"/>
      <c r="N40" s="24"/>
      <c r="O40" s="24"/>
      <c r="P40" s="24"/>
    </row>
    <row r="41" spans="1:16" s="12" customFormat="1" ht="19.899999999999999" customHeight="1">
      <c r="A41" s="72"/>
      <c r="B41" s="77" t="s">
        <v>44</v>
      </c>
      <c r="C41" s="78">
        <v>154820</v>
      </c>
      <c r="D41" s="79"/>
      <c r="E41" s="73">
        <f t="shared" si="0"/>
        <v>0</v>
      </c>
      <c r="F41" s="74"/>
      <c r="G41" s="4"/>
      <c r="H41" s="24"/>
      <c r="I41" s="35"/>
      <c r="J41" s="24"/>
      <c r="K41" s="24"/>
      <c r="L41" s="24"/>
      <c r="M41" s="24"/>
      <c r="N41" s="24"/>
      <c r="O41" s="24"/>
      <c r="P41" s="24"/>
    </row>
    <row r="42" spans="1:16" s="12" customFormat="1" ht="19.899999999999999" customHeight="1">
      <c r="A42" s="72"/>
      <c r="B42" s="77" t="s">
        <v>45</v>
      </c>
      <c r="C42" s="78">
        <v>464460</v>
      </c>
      <c r="D42" s="79"/>
      <c r="E42" s="73">
        <f t="shared" si="0"/>
        <v>0</v>
      </c>
      <c r="F42" s="74"/>
      <c r="G42" s="4"/>
      <c r="H42" s="24"/>
      <c r="I42" s="35"/>
      <c r="J42" s="24"/>
      <c r="K42" s="24"/>
      <c r="L42" s="24"/>
      <c r="M42" s="24"/>
      <c r="N42" s="24"/>
      <c r="O42" s="24"/>
      <c r="P42" s="24"/>
    </row>
    <row r="43" spans="1:16" s="12" customFormat="1" ht="19.899999999999999" customHeight="1">
      <c r="A43" s="72"/>
      <c r="B43" s="77" t="s">
        <v>46</v>
      </c>
      <c r="C43" s="78">
        <v>774100</v>
      </c>
      <c r="D43" s="79"/>
      <c r="E43" s="73">
        <f t="shared" si="0"/>
        <v>0</v>
      </c>
      <c r="F43" s="74"/>
      <c r="G43" s="4"/>
      <c r="H43" s="24"/>
      <c r="I43" s="35"/>
      <c r="J43" s="24"/>
      <c r="K43" s="24"/>
      <c r="L43" s="24"/>
      <c r="M43" s="24"/>
      <c r="N43" s="24"/>
      <c r="O43" s="24"/>
      <c r="P43" s="24"/>
    </row>
    <row r="44" spans="1:16" s="12" customFormat="1" ht="19.899999999999999" customHeight="1">
      <c r="A44" s="72"/>
      <c r="B44" s="77" t="s">
        <v>47</v>
      </c>
      <c r="C44" s="78">
        <v>1548200</v>
      </c>
      <c r="D44" s="79"/>
      <c r="E44" s="73">
        <f t="shared" si="0"/>
        <v>0</v>
      </c>
      <c r="F44" s="74"/>
      <c r="G44" s="4"/>
      <c r="H44" s="24"/>
      <c r="I44" s="35"/>
      <c r="J44" s="24"/>
      <c r="K44" s="24"/>
      <c r="L44" s="24"/>
      <c r="M44" s="24"/>
      <c r="N44" s="24"/>
      <c r="O44" s="24"/>
      <c r="P44" s="24"/>
    </row>
    <row r="45" spans="1:16" s="12" customFormat="1" ht="19.899999999999999" customHeight="1">
      <c r="A45" s="87"/>
      <c r="B45" s="81"/>
      <c r="C45" s="82"/>
      <c r="D45" s="83"/>
      <c r="E45" s="84">
        <f t="shared" si="0"/>
        <v>0</v>
      </c>
      <c r="F45" s="85"/>
      <c r="G45" s="45"/>
      <c r="H45" s="24"/>
      <c r="I45" s="35"/>
      <c r="J45" s="24"/>
      <c r="K45" s="24"/>
      <c r="L45" s="24"/>
      <c r="M45" s="24"/>
      <c r="N45" s="24"/>
      <c r="O45" s="24"/>
      <c r="P45" s="24"/>
    </row>
    <row r="46" spans="1:16" s="12" customFormat="1" ht="19.899999999999999" customHeight="1">
      <c r="A46" s="72" t="s">
        <v>55</v>
      </c>
      <c r="B46" s="75" t="s">
        <v>51</v>
      </c>
      <c r="C46" s="78">
        <v>46450</v>
      </c>
      <c r="D46" s="79">
        <v>1</v>
      </c>
      <c r="E46" s="73">
        <f t="shared" si="0"/>
        <v>46450</v>
      </c>
      <c r="F46" s="74"/>
      <c r="G46" s="45"/>
      <c r="H46" s="24"/>
      <c r="I46" s="35"/>
      <c r="J46" s="24"/>
      <c r="K46" s="24"/>
      <c r="L46" s="24"/>
      <c r="M46" s="24"/>
      <c r="N46" s="24"/>
      <c r="O46" s="24"/>
      <c r="P46" s="24"/>
    </row>
    <row r="47" spans="1:16" s="12" customFormat="1" ht="19.899999999999999" customHeight="1">
      <c r="A47" s="72"/>
      <c r="B47" s="75" t="s">
        <v>52</v>
      </c>
      <c r="C47" s="78">
        <v>928750</v>
      </c>
      <c r="D47" s="79"/>
      <c r="E47" s="73">
        <f t="shared" si="0"/>
        <v>0</v>
      </c>
      <c r="F47" s="74"/>
      <c r="G47" s="45"/>
      <c r="H47" s="24"/>
      <c r="I47" s="35"/>
      <c r="J47" s="24"/>
      <c r="K47" s="24"/>
      <c r="L47" s="24"/>
      <c r="M47" s="24"/>
      <c r="N47" s="24"/>
      <c r="O47" s="24"/>
      <c r="P47" s="24"/>
    </row>
    <row r="48" spans="1:16" s="12" customFormat="1" ht="19.899999999999999" customHeight="1">
      <c r="A48" s="72"/>
      <c r="B48" s="75" t="s">
        <v>53</v>
      </c>
      <c r="C48" s="78">
        <v>928750</v>
      </c>
      <c r="D48" s="79"/>
      <c r="E48" s="73">
        <f t="shared" si="0"/>
        <v>0</v>
      </c>
      <c r="F48" s="74"/>
      <c r="G48" s="45"/>
      <c r="H48" s="24"/>
      <c r="I48" s="35"/>
      <c r="J48" s="24"/>
      <c r="K48" s="24"/>
      <c r="L48" s="24"/>
      <c r="M48" s="24"/>
      <c r="N48" s="24"/>
      <c r="O48" s="24"/>
      <c r="P48" s="24"/>
    </row>
    <row r="49" spans="1:16" s="12" customFormat="1" ht="19.899999999999999" customHeight="1">
      <c r="A49" s="72"/>
      <c r="B49" s="75" t="s">
        <v>54</v>
      </c>
      <c r="C49" s="78">
        <v>464460</v>
      </c>
      <c r="D49" s="79">
        <v>1</v>
      </c>
      <c r="E49" s="73">
        <f t="shared" si="0"/>
        <v>464460</v>
      </c>
      <c r="F49" s="74"/>
      <c r="G49" s="45"/>
      <c r="H49" s="24"/>
      <c r="I49" s="35"/>
      <c r="J49" s="24"/>
      <c r="K49" s="24"/>
      <c r="L49" s="24"/>
      <c r="M49" s="24"/>
      <c r="N49" s="24"/>
      <c r="O49" s="24"/>
      <c r="P49" s="24"/>
    </row>
    <row r="50" spans="1:16" s="12" customFormat="1" ht="19.899999999999999" customHeight="1">
      <c r="A50" s="67"/>
      <c r="B50" s="68"/>
      <c r="C50" s="69"/>
      <c r="D50" s="69"/>
      <c r="E50" s="70"/>
      <c r="F50" s="71"/>
      <c r="G50" s="31"/>
      <c r="H50" s="32"/>
      <c r="I50" s="32"/>
      <c r="J50" s="32"/>
      <c r="K50" s="32"/>
      <c r="L50" s="32"/>
      <c r="M50" s="32"/>
      <c r="N50" s="32"/>
      <c r="O50" s="32"/>
      <c r="P50" s="32"/>
    </row>
    <row r="51" spans="1:16" s="12" customFormat="1" ht="12.75" thickBot="1">
      <c r="A51" s="60" t="s">
        <v>5</v>
      </c>
      <c r="B51" s="61"/>
      <c r="C51" s="36"/>
      <c r="D51" s="36"/>
      <c r="E51" s="37">
        <f>SUM(E23:E50)</f>
        <v>1285010</v>
      </c>
      <c r="F51" s="38"/>
      <c r="G51" s="4"/>
      <c r="H51" s="26"/>
      <c r="I51" s="26"/>
      <c r="J51" s="26"/>
      <c r="K51" s="26"/>
      <c r="L51" s="26"/>
      <c r="M51" s="26"/>
      <c r="N51" s="26"/>
      <c r="O51" s="26"/>
      <c r="P51" s="26"/>
    </row>
    <row r="52" spans="1:16" s="94" customFormat="1" ht="12.75" thickTop="1">
      <c r="A52" s="101" t="s">
        <v>64</v>
      </c>
      <c r="B52" s="100"/>
      <c r="C52" s="100"/>
      <c r="D52" s="100"/>
      <c r="E52" s="100"/>
      <c r="F52" s="99"/>
      <c r="G52" s="104"/>
      <c r="H52" s="105"/>
      <c r="I52" s="105"/>
      <c r="J52" s="105"/>
      <c r="K52" s="105"/>
      <c r="L52" s="105"/>
      <c r="M52" s="105"/>
      <c r="N52" s="105"/>
      <c r="O52" s="105"/>
      <c r="P52" s="105"/>
    </row>
    <row r="53" spans="1:16" s="94" customFormat="1" ht="12">
      <c r="A53" s="106" t="s">
        <v>65</v>
      </c>
      <c r="B53" s="89" t="s">
        <v>70</v>
      </c>
      <c r="C53" s="89"/>
      <c r="D53" s="89"/>
      <c r="E53" s="89"/>
      <c r="F53" s="90"/>
      <c r="G53" s="104"/>
      <c r="H53" s="105"/>
      <c r="I53" s="105"/>
      <c r="J53" s="105"/>
      <c r="K53" s="105"/>
      <c r="L53" s="105"/>
      <c r="M53" s="105"/>
      <c r="N53" s="105"/>
      <c r="O53" s="105"/>
      <c r="P53" s="105"/>
    </row>
    <row r="54" spans="1:16" s="94" customFormat="1" ht="12">
      <c r="A54" s="88" t="s">
        <v>66</v>
      </c>
      <c r="B54" s="91" t="s">
        <v>67</v>
      </c>
      <c r="C54" s="92"/>
      <c r="D54" s="92"/>
      <c r="E54" s="92"/>
      <c r="F54" s="93"/>
      <c r="G54" s="104"/>
      <c r="H54" s="105"/>
      <c r="I54" s="105"/>
      <c r="J54" s="105"/>
      <c r="K54" s="105"/>
      <c r="L54" s="105"/>
      <c r="M54" s="105"/>
      <c r="N54" s="105"/>
      <c r="O54" s="105"/>
      <c r="P54" s="105"/>
    </row>
    <row r="55" spans="1:16" s="12" customFormat="1" ht="21" customHeight="1">
      <c r="A55" s="98"/>
      <c r="B55" s="103" t="s">
        <v>68</v>
      </c>
      <c r="C55" s="103"/>
      <c r="D55" s="103"/>
      <c r="E55" s="103"/>
      <c r="F55" s="102"/>
      <c r="G55" s="104"/>
      <c r="H55" s="105"/>
      <c r="I55" s="105"/>
      <c r="J55" s="105"/>
      <c r="K55" s="105"/>
      <c r="L55" s="105"/>
      <c r="M55" s="105"/>
      <c r="N55" s="105"/>
      <c r="O55" s="105"/>
      <c r="P55" s="105"/>
    </row>
    <row r="56" spans="1:16" s="12" customFormat="1" ht="15" customHeight="1">
      <c r="A56" s="101" t="s">
        <v>69</v>
      </c>
      <c r="B56" s="100"/>
      <c r="C56" s="100"/>
      <c r="D56" s="100"/>
      <c r="E56" s="100"/>
      <c r="F56" s="99"/>
      <c r="G56" s="104"/>
      <c r="H56" s="105"/>
      <c r="I56" s="105"/>
      <c r="J56" s="105"/>
      <c r="K56" s="105"/>
      <c r="L56" s="105"/>
      <c r="M56" s="105"/>
      <c r="N56" s="105"/>
      <c r="O56" s="105"/>
      <c r="P56" s="105"/>
    </row>
    <row r="57" spans="1:16" s="12" customFormat="1" ht="15" customHeight="1">
      <c r="A57" s="27" t="s">
        <v>7</v>
      </c>
      <c r="B57" s="97" t="s">
        <v>59</v>
      </c>
      <c r="C57" s="95"/>
      <c r="D57" s="95"/>
      <c r="E57" s="28"/>
      <c r="F57" s="29"/>
      <c r="G57" s="13"/>
      <c r="H57" s="26"/>
      <c r="I57" s="26"/>
      <c r="J57" s="26"/>
      <c r="K57" s="26"/>
      <c r="L57" s="26"/>
      <c r="M57" s="26"/>
      <c r="N57" s="26"/>
      <c r="O57" s="26"/>
      <c r="P57" s="26"/>
    </row>
    <row r="58" spans="1:16" s="12" customFormat="1" ht="15" customHeight="1">
      <c r="A58" s="27" t="s">
        <v>8</v>
      </c>
      <c r="B58" s="96" t="s">
        <v>60</v>
      </c>
      <c r="C58" s="95"/>
      <c r="D58" s="95"/>
      <c r="E58" s="28"/>
      <c r="F58" s="29"/>
      <c r="G58" s="13"/>
      <c r="H58" s="26"/>
      <c r="I58" s="26"/>
      <c r="J58" s="26"/>
      <c r="K58" s="26"/>
      <c r="L58" s="26"/>
      <c r="M58" s="26"/>
      <c r="N58" s="26"/>
      <c r="O58" s="26"/>
      <c r="P58" s="26"/>
    </row>
    <row r="59" spans="1:16" s="12" customFormat="1" ht="15" customHeight="1">
      <c r="A59" s="27" t="s">
        <v>9</v>
      </c>
      <c r="B59" s="97" t="s">
        <v>61</v>
      </c>
      <c r="C59" s="95"/>
      <c r="D59" s="95"/>
      <c r="E59" s="28"/>
      <c r="F59" s="29"/>
      <c r="G59" s="13"/>
      <c r="H59" s="26"/>
      <c r="I59" s="26"/>
      <c r="J59" s="26"/>
      <c r="K59" s="26"/>
      <c r="L59" s="26"/>
      <c r="M59" s="26"/>
      <c r="N59" s="26"/>
      <c r="O59" s="26"/>
      <c r="P59" s="26"/>
    </row>
    <row r="60" spans="1:16" s="12" customFormat="1" ht="15" customHeight="1">
      <c r="A60" s="27" t="s">
        <v>11</v>
      </c>
      <c r="B60" s="97" t="s">
        <v>62</v>
      </c>
      <c r="C60" s="95"/>
      <c r="D60" s="95"/>
      <c r="E60" s="28"/>
      <c r="F60" s="29"/>
      <c r="G60" s="13"/>
      <c r="H60" s="26"/>
      <c r="I60" s="26"/>
      <c r="J60" s="26"/>
      <c r="K60" s="26"/>
      <c r="L60" s="26"/>
      <c r="M60" s="26"/>
      <c r="N60" s="26"/>
      <c r="O60" s="26"/>
      <c r="P60" s="26"/>
    </row>
    <row r="61" spans="1:16" s="12" customFormat="1" ht="15" customHeight="1">
      <c r="A61" s="27" t="s">
        <v>10</v>
      </c>
      <c r="B61" s="96" t="s">
        <v>63</v>
      </c>
      <c r="C61" s="95"/>
      <c r="D61" s="95"/>
      <c r="E61" s="28"/>
      <c r="F61" s="29"/>
      <c r="G61" s="13"/>
      <c r="H61" s="26"/>
      <c r="I61" s="26"/>
      <c r="J61" s="26"/>
      <c r="K61" s="26"/>
      <c r="L61" s="26"/>
      <c r="M61" s="26"/>
      <c r="N61" s="26"/>
      <c r="O61" s="26"/>
      <c r="P61" s="26"/>
    </row>
    <row r="62" spans="1:16" s="12" customFormat="1" ht="7.7" customHeight="1">
      <c r="A62" s="16"/>
      <c r="B62" s="13"/>
      <c r="C62" s="13"/>
      <c r="D62" s="13"/>
      <c r="E62" s="13"/>
      <c r="F62" s="11"/>
      <c r="G62" s="13"/>
      <c r="H62" s="26"/>
      <c r="I62" s="26"/>
      <c r="J62" s="26"/>
      <c r="K62" s="26"/>
      <c r="L62" s="26"/>
      <c r="M62" s="26"/>
      <c r="N62" s="26"/>
      <c r="O62" s="26"/>
      <c r="P62" s="26"/>
    </row>
    <row r="63" spans="1:16" s="12" customFormat="1" ht="15" customHeight="1">
      <c r="A63" s="9" t="s">
        <v>1</v>
      </c>
      <c r="B63" s="13"/>
      <c r="C63" s="13"/>
      <c r="D63" s="13"/>
      <c r="E63" s="13" t="s">
        <v>6</v>
      </c>
      <c r="F63" s="11"/>
      <c r="G63" s="13"/>
      <c r="H63" s="26"/>
      <c r="I63" s="26"/>
      <c r="J63" s="26"/>
      <c r="K63" s="26"/>
      <c r="L63" s="26"/>
      <c r="M63" s="26"/>
      <c r="N63" s="26"/>
      <c r="O63" s="26"/>
      <c r="P63" s="26"/>
    </row>
    <row r="64" spans="1:16" s="12" customFormat="1" ht="15" customHeight="1">
      <c r="A64" s="9"/>
      <c r="B64" s="13"/>
      <c r="C64" s="13"/>
      <c r="D64" s="13"/>
      <c r="E64" s="13"/>
      <c r="F64" s="11"/>
      <c r="G64" s="13"/>
      <c r="H64" s="26"/>
      <c r="I64" s="26"/>
      <c r="J64" s="26"/>
      <c r="K64" s="26"/>
      <c r="L64" s="26"/>
      <c r="M64" s="26"/>
      <c r="N64" s="26"/>
      <c r="O64" s="26"/>
      <c r="P64" s="26"/>
    </row>
    <row r="65" spans="1:16" s="12" customFormat="1" ht="15" customHeight="1">
      <c r="A65" s="33"/>
      <c r="B65" s="42"/>
      <c r="C65" s="42"/>
      <c r="D65" s="42"/>
      <c r="E65" s="42"/>
      <c r="F65" s="43"/>
      <c r="G65" s="13"/>
      <c r="H65" s="26"/>
      <c r="I65" s="26"/>
      <c r="J65" s="26"/>
      <c r="K65" s="26"/>
      <c r="L65" s="26"/>
      <c r="M65" s="26"/>
      <c r="N65" s="26"/>
      <c r="O65" s="26"/>
      <c r="P65" s="26"/>
    </row>
  </sheetData>
  <mergeCells count="20">
    <mergeCell ref="B55:F55"/>
    <mergeCell ref="A52:F52"/>
    <mergeCell ref="A54:A55"/>
    <mergeCell ref="B53:F53"/>
    <mergeCell ref="A56:F56"/>
    <mergeCell ref="B54:F54"/>
    <mergeCell ref="A13:B13"/>
    <mergeCell ref="A12:B12"/>
    <mergeCell ref="A51:B51"/>
    <mergeCell ref="A6:F6"/>
    <mergeCell ref="A11:B11"/>
    <mergeCell ref="A29:A38"/>
    <mergeCell ref="A40:A44"/>
    <mergeCell ref="A23:A27"/>
    <mergeCell ref="A46:A49"/>
    <mergeCell ref="A1:F1"/>
    <mergeCell ref="A2:F2"/>
    <mergeCell ref="A3:F3"/>
    <mergeCell ref="A4:F4"/>
    <mergeCell ref="A10:B10"/>
  </mergeCells>
  <phoneticPr fontId="3" type="noConversion"/>
  <hyperlinks>
    <hyperlink ref="A4" r:id="rId1" display="www.nbnatural.co.kr" xr:uid="{00000000-0004-0000-0000-000000000000}"/>
  </hyperlinks>
  <printOptions horizontalCentered="1"/>
  <pageMargins left="0.59055118110236227" right="0.59055118110236227" top="0.78740157480314965" bottom="0.59055118110236227" header="0.51181102362204722" footer="0.19685039370078741"/>
  <pageSetup paperSize="9" scale="87" orientation="portrait" r:id="rId2"/>
  <headerFooter alignWithMargins="0">
    <oddFooter>&amp;LCP-7202-01(00)&amp;CNB NATURAL CO., LTD.&amp;RA4(210X297)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PI</vt:lpstr>
      <vt:lpstr>PI!Print_Area</vt:lpstr>
    </vt:vector>
  </TitlesOfParts>
  <Company>AZ Technology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정식 Microsoft Office 제품 사용자</dc:creator>
  <cp:lastModifiedBy>YI RICK</cp:lastModifiedBy>
  <cp:lastPrinted>2017-09-21T06:35:06Z</cp:lastPrinted>
  <dcterms:created xsi:type="dcterms:W3CDTF">2002-02-07T02:04:29Z</dcterms:created>
  <dcterms:modified xsi:type="dcterms:W3CDTF">2026-09-14T15:22:46Z</dcterms:modified>
</cp:coreProperties>
</file>